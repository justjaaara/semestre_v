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rudo1\OneDrive\Documents\"/>
    </mc:Choice>
  </mc:AlternateContent>
  <xr:revisionPtr revIDLastSave="0" documentId="8_{587A9C8A-31DC-4EED-8EAC-89BB5A43CFD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lujo de caja" sheetId="8" r:id="rId1"/>
  </sheets>
  <definedNames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OptionCustomItemsCount" hidden="1">0</definedName>
    <definedName name="_AtRisk_SimSetting_ReportOptionDataMode" hidden="1">1</definedName>
    <definedName name="_AtRisk_SimSetting_ReportOptionReportMultiSimType" hidden="1">1</definedName>
    <definedName name="_AtRisk_SimSetting_ReportOptionReportPlacement" hidden="1">1</definedName>
    <definedName name="_AtRisk_SimSetting_ReportOptionReportSelection" hidden="1">12</definedName>
    <definedName name="_AtRisk_SimSetting_ReportOptionReportsFileType" hidden="1">1</definedName>
    <definedName name="_AtRisk_SimSetting_ReportOptionSelectiveQR" hidden="1">FALSE</definedName>
    <definedName name="_AtRisk_SimSetting_ReportsList" hidden="1">12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xlnm.Print_Area" localSheetId="0">'Flujo de caja'!$A$11:$G$46</definedName>
    <definedName name="Pal_Workbook_GUID" localSheetId="0" hidden="1">"NZNKPUUQYHHIIDJPLD57PN3L"</definedName>
    <definedName name="Pal_Workbook_GUID" hidden="1">"IDEP8IXH252AF7J56HHW36RG"</definedName>
    <definedName name="RiskAfterRecalcMacro" hidden="1">""</definedName>
    <definedName name="RiskAfterSimMacro" hidden="1">""</definedName>
    <definedName name="RiskAutoStopPercChange">1.5</definedName>
    <definedName name="RiskBeforeRecalcMacro" hidden="1">""</definedName>
    <definedName name="RiskBeforeSimMacro" hidden="1">""</definedName>
    <definedName name="RiskCollectDistributionSamples" hidden="1">2</definedName>
    <definedName name="RiskExcelReportsGoInNewWorkbook">TRUE</definedName>
    <definedName name="RiskExcelReportsToGenerate">2</definedName>
    <definedName name="RiskFixedSeed" hidden="1">1</definedName>
    <definedName name="RiskGenerateExcelReportsAtEndOfSimulation">FALSE</definedName>
    <definedName name="RiskHasSettings" hidden="1">7</definedName>
    <definedName name="RiskIsInput" hidden="1">FALSE</definedName>
    <definedName name="RiskIsOptimization" hidden="1">FALSE</definedName>
    <definedName name="RiskIsOutput" hidden="1">FALSE</definedName>
    <definedName name="RiskIsStatistics" hidden="1">FALSE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10000</definedName>
    <definedName name="RiskNumSimulations" hidden="1">1</definedName>
    <definedName name="RiskPauseOnError" hidden="1">FALSE</definedName>
    <definedName name="RiskRealTimeResults">FALSE</definedName>
    <definedName name="RiskReportGraphFormat">0</definedName>
    <definedName name="RiskResultsUpdateFreq">100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2</definedName>
    <definedName name="RiskShowRiskWindowAtEndOfSimulation">TRUE</definedName>
    <definedName name="RiskStandardRecalc" hidden="1">2</definedName>
    <definedName name="RiskTemplateSheetName">"myTemplate"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'Flujo de caja'!#REF!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7" i="8" l="1"/>
  <c r="C76" i="8"/>
  <c r="C71" i="8"/>
  <c r="F70" i="8"/>
  <c r="C64" i="8"/>
  <c r="C63" i="8"/>
  <c r="C61" i="8"/>
  <c r="D57" i="8"/>
  <c r="D55" i="8"/>
  <c r="D54" i="8"/>
  <c r="D53" i="8"/>
  <c r="D52" i="8"/>
  <c r="E50" i="8"/>
  <c r="D50" i="8"/>
  <c r="F45" i="8"/>
  <c r="E45" i="8"/>
  <c r="D45" i="8"/>
  <c r="C45" i="8"/>
  <c r="E44" i="8"/>
  <c r="F44" i="8"/>
  <c r="D44" i="8"/>
  <c r="D43" i="8"/>
  <c r="D21" i="8"/>
  <c r="D34" i="8"/>
  <c r="C34" i="8"/>
  <c r="D22" i="8"/>
  <c r="D35" i="8"/>
  <c r="C35" i="8"/>
  <c r="C33" i="8"/>
  <c r="D33" i="8" s="1"/>
  <c r="D25" i="8"/>
  <c r="D24" i="8" l="1"/>
  <c r="D23" i="8"/>
  <c r="C22" i="8"/>
  <c r="E17" i="8"/>
  <c r="E18" i="8"/>
  <c r="E16" i="8"/>
  <c r="C15" i="8"/>
  <c r="E15" i="8" s="1"/>
  <c r="C14" i="8"/>
  <c r="E14" i="8" s="1"/>
  <c r="C13" i="8"/>
  <c r="D41" i="8"/>
  <c r="C74" i="8"/>
  <c r="C68" i="8"/>
  <c r="E13" i="8" l="1"/>
  <c r="D56" i="8" l="1"/>
  <c r="E52" i="8"/>
  <c r="E56" i="8" s="1"/>
  <c r="F52" i="8" l="1"/>
  <c r="F56" i="8" s="1"/>
  <c r="E41" i="8" l="1"/>
  <c r="F41" i="8" s="1"/>
  <c r="D39" i="8"/>
  <c r="E39" i="8" s="1"/>
  <c r="F39" i="8" s="1"/>
  <c r="D32" i="8"/>
  <c r="D31" i="8"/>
  <c r="D30" i="8"/>
  <c r="C29" i="8"/>
  <c r="D29" i="8" s="1"/>
  <c r="C28" i="8"/>
  <c r="D28" i="8" l="1"/>
  <c r="D51" i="8" l="1"/>
  <c r="E43" i="8" l="1"/>
  <c r="F43" i="8" s="1"/>
  <c r="C69" i="8"/>
  <c r="F50" i="8"/>
  <c r="D68" i="8"/>
  <c r="E51" i="8" l="1"/>
  <c r="E53" i="8" s="1"/>
  <c r="F51" i="8"/>
  <c r="F53" i="8"/>
  <c r="F54" i="8" s="1"/>
  <c r="F55" i="8" s="1"/>
  <c r="F57" i="8" s="1"/>
  <c r="F68" i="8" s="1"/>
  <c r="D63" i="8"/>
  <c r="D64" i="8" s="1"/>
  <c r="D69" i="8" s="1"/>
  <c r="D71" i="8" s="1"/>
  <c r="E54" i="8"/>
  <c r="E55" i="8" s="1"/>
  <c r="E57" i="8" s="1"/>
  <c r="E68" i="8" s="1"/>
  <c r="E63" i="8" l="1"/>
  <c r="E64" i="8" s="1"/>
  <c r="E69" i="8" s="1"/>
  <c r="E71" i="8" s="1"/>
  <c r="F63" i="8"/>
  <c r="F64" i="8" s="1"/>
  <c r="F69" i="8" s="1"/>
  <c r="F71" i="8" l="1"/>
</calcChain>
</file>

<file path=xl/sharedStrings.xml><?xml version="1.0" encoding="utf-8"?>
<sst xmlns="http://schemas.openxmlformats.org/spreadsheetml/2006/main" count="100" uniqueCount="69">
  <si>
    <t>Monto Inversión</t>
  </si>
  <si>
    <t>Vida Útil</t>
  </si>
  <si>
    <t>Mensual</t>
  </si>
  <si>
    <t>capital de Trabajo</t>
  </si>
  <si>
    <t>PARÁMETROS</t>
  </si>
  <si>
    <t>Concepto</t>
  </si>
  <si>
    <t>Activos Fijos</t>
  </si>
  <si>
    <t>Costos y Gastos</t>
  </si>
  <si>
    <t>Anual</t>
  </si>
  <si>
    <t>Tasa de Impuestos</t>
  </si>
  <si>
    <t>CALCULOS</t>
  </si>
  <si>
    <t>Dato</t>
  </si>
  <si>
    <t>Flujo Caja Operativo</t>
  </si>
  <si>
    <t>(+)</t>
  </si>
  <si>
    <t>Ingresos</t>
  </si>
  <si>
    <t>(-)</t>
  </si>
  <si>
    <t>(=)</t>
  </si>
  <si>
    <t>Depreciación</t>
  </si>
  <si>
    <t>Utilidad Operativa</t>
  </si>
  <si>
    <t>Impuesto</t>
  </si>
  <si>
    <t>UODI</t>
  </si>
  <si>
    <t xml:space="preserve">Costos y gastos </t>
  </si>
  <si>
    <t>Flujo Caja Inversión</t>
  </si>
  <si>
    <t>Inversión en Activos Fijos</t>
  </si>
  <si>
    <t>Inversión en Activos Intangibles</t>
  </si>
  <si>
    <t>Inversión en Capital de Trabajo</t>
  </si>
  <si>
    <t>Flujo Caja Proyecto</t>
  </si>
  <si>
    <t>FLUJO DE CAJA PROYECTO</t>
  </si>
  <si>
    <t>FLUJO DE CAJA OPERATIVO</t>
  </si>
  <si>
    <t>FLUJO DE CAJA INVERSIÓN</t>
  </si>
  <si>
    <t>CPPC /WACC</t>
  </si>
  <si>
    <t>VPN</t>
  </si>
  <si>
    <t>TIR</t>
  </si>
  <si>
    <t>Crecimiento Anual</t>
  </si>
  <si>
    <t>Ingresos estimados</t>
  </si>
  <si>
    <t>Salario de soporte técnico</t>
  </si>
  <si>
    <t>Salario Programador</t>
  </si>
  <si>
    <t>Mantenimiento pagina web</t>
  </si>
  <si>
    <t>Servicios públicos</t>
  </si>
  <si>
    <t xml:space="preserve">Paquete de internet </t>
  </si>
  <si>
    <t>Prestaciones y Seguridad social</t>
  </si>
  <si>
    <t>Inflación</t>
  </si>
  <si>
    <t>Año 0</t>
  </si>
  <si>
    <t>Año 1</t>
  </si>
  <si>
    <t>Año 2</t>
  </si>
  <si>
    <t>Año 3</t>
  </si>
  <si>
    <t>Periodo de desfase</t>
  </si>
  <si>
    <t>Costos Desembolsables (Costos fijos + Costos Variables)</t>
  </si>
  <si>
    <t>Δ Capital Trabajo (Inversión en Capital de trabajo)</t>
  </si>
  <si>
    <t>Capital Trabajo (Costo de 30 dias de operación)</t>
  </si>
  <si>
    <t>Tasa de descuento (WACC)</t>
  </si>
  <si>
    <t>% Utilidad</t>
  </si>
  <si>
    <t>VALOR DE CONTINUIDAD</t>
  </si>
  <si>
    <t>Depreciación Anual</t>
  </si>
  <si>
    <t>Días de efectivo</t>
  </si>
  <si>
    <t>Según Damodaran - Computer Services</t>
  </si>
  <si>
    <t>Equipos de cómputo (2)</t>
  </si>
  <si>
    <t>Escritorio (2)</t>
  </si>
  <si>
    <t>Sillas (2)</t>
  </si>
  <si>
    <t xml:space="preserve">Herramientas pequeñas </t>
  </si>
  <si>
    <t xml:space="preserve">Instrumentos de medición </t>
  </si>
  <si>
    <t>Servidor local(1)</t>
  </si>
  <si>
    <t>Venta de dispositivos</t>
  </si>
  <si>
    <r>
      <t>Suscripciones premium (</t>
    </r>
    <r>
      <rPr>
        <sz val="8"/>
        <color theme="1"/>
        <rFont val="Verdana"/>
        <family val="2"/>
      </rPr>
      <t>100 USUARIOS APRO</t>
    </r>
    <r>
      <rPr>
        <sz val="9"/>
        <color theme="1"/>
        <rFont val="Verdana"/>
        <family val="2"/>
      </rPr>
      <t>X</t>
    </r>
    <r>
      <rPr>
        <sz val="10"/>
        <color theme="1"/>
        <rFont val="Verdana"/>
        <family val="2"/>
      </rPr>
      <t>)</t>
    </r>
  </si>
  <si>
    <t>Datos anonimizados para estudios de consumo</t>
  </si>
  <si>
    <t>Publicidad en la plataforma</t>
  </si>
  <si>
    <t xml:space="preserve">Salario experto en sostenibilidad </t>
  </si>
  <si>
    <t xml:space="preserve">Auxiliar Administrativo </t>
  </si>
  <si>
    <t>Salario Contador  (NO ES DE PLANTA)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</si>
</sst>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\ #,##0;[Red]\-&quot;$&quot;\ #,##0"/>
    <numFmt numFmtId="164" formatCode="&quot;$&quot;\ #,##0"/>
    <numFmt numFmtId="165" formatCode="_(* #,##0.00_);_(* \(#,##0.00\);_(* &quot;-&quot;??_);_(@_)"/>
    <numFmt numFmtId="166" formatCode="&quot;$&quot;\ #,##0.00"/>
    <numFmt numFmtId="167" formatCode="&quot;$&quot;#,##0;[Red]\-&quot;$&quot;#,##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Verdana"/>
      <family val="2"/>
    </font>
    <font>
      <b/>
      <sz val="10"/>
      <color theme="0"/>
      <name val="Verdana"/>
      <family val="2"/>
    </font>
    <font>
      <b/>
      <sz val="10"/>
      <color theme="1"/>
      <name val="Verdana"/>
      <family val="2"/>
    </font>
    <font>
      <b/>
      <sz val="10"/>
      <name val="Verdana"/>
      <family val="2"/>
    </font>
    <font>
      <b/>
      <sz val="11"/>
      <color theme="0"/>
      <name val="Verdana"/>
      <family val="2"/>
    </font>
    <font>
      <b/>
      <sz val="12"/>
      <color theme="1"/>
      <name val="Verdana"/>
      <family val="2"/>
    </font>
    <font>
      <sz val="9"/>
      <color theme="1"/>
      <name val="MS Reference Sans Serif"/>
      <family val="2"/>
    </font>
    <font>
      <b/>
      <sz val="9"/>
      <color theme="1"/>
      <name val="MS Reference Sans Serif"/>
      <family val="2"/>
    </font>
    <font>
      <b/>
      <sz val="9"/>
      <color theme="0"/>
      <name val="MS Reference Sans Serif"/>
      <family val="2"/>
    </font>
    <font>
      <b/>
      <sz val="11"/>
      <color theme="1"/>
      <name val="Verdana"/>
      <family val="2"/>
    </font>
    <font>
      <sz val="9"/>
      <color theme="1"/>
      <name val="Verdana"/>
      <family val="2"/>
    </font>
    <font>
      <sz val="8"/>
      <color theme="1"/>
      <name val="Verdana"/>
      <family val="2"/>
    </font>
    <font>
      <sz val="10"/>
      <name val="Verdana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999FF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/>
    <xf numFmtId="165" fontId="1" fillId="0" borderId="0" applyFont="0" applyFill="0" applyBorder="0" applyAlignment="0" applyProtection="0"/>
  </cellStyleXfs>
  <cellXfs count="89">
    <xf numFmtId="0" fontId="0" fillId="0" borderId="0" xfId="0"/>
    <xf numFmtId="0" fontId="4" fillId="4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9" fontId="5" fillId="0" borderId="0" xfId="1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16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9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5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vertical="center" wrapText="1"/>
    </xf>
    <xf numFmtId="164" fontId="5" fillId="5" borderId="1" xfId="0" applyNumberFormat="1" applyFont="1" applyFill="1" applyBorder="1" applyAlignment="1">
      <alignment horizontal="center" vertical="center"/>
    </xf>
    <xf numFmtId="3" fontId="5" fillId="5" borderId="1" xfId="0" applyNumberFormat="1" applyFont="1" applyFill="1" applyBorder="1" applyAlignment="1">
      <alignment horizontal="center" vertical="center"/>
    </xf>
    <xf numFmtId="0" fontId="3" fillId="0" borderId="5" xfId="0" applyFont="1" applyBorder="1" applyAlignment="1">
      <alignment vertical="center" wrapText="1"/>
    </xf>
    <xf numFmtId="3" fontId="3" fillId="0" borderId="1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166" fontId="3" fillId="0" borderId="1" xfId="0" applyNumberFormat="1" applyFont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64" fontId="3" fillId="0" borderId="1" xfId="0" applyNumberFormat="1" applyFont="1" applyBorder="1" applyAlignment="1">
      <alignment horizontal="left" vertical="center"/>
    </xf>
    <xf numFmtId="0" fontId="5" fillId="0" borderId="5" xfId="0" applyFont="1" applyBorder="1" applyAlignment="1">
      <alignment vertical="center" wrapText="1"/>
    </xf>
    <xf numFmtId="164" fontId="5" fillId="0" borderId="1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0" fontId="3" fillId="2" borderId="0" xfId="0" applyFont="1" applyFill="1" applyAlignment="1">
      <alignment horizontal="right" vertical="center"/>
    </xf>
    <xf numFmtId="0" fontId="5" fillId="3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9" fontId="3" fillId="2" borderId="0" xfId="0" applyNumberFormat="1" applyFont="1" applyFill="1" applyAlignment="1">
      <alignment vertical="center"/>
    </xf>
    <xf numFmtId="0" fontId="9" fillId="6" borderId="7" xfId="0" applyFont="1" applyFill="1" applyBorder="1" applyAlignment="1">
      <alignment horizontal="left" vertical="center"/>
    </xf>
    <xf numFmtId="1" fontId="10" fillId="6" borderId="11" xfId="0" applyNumberFormat="1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11" xfId="0" applyFont="1" applyBorder="1" applyAlignment="1">
      <alignment vertical="center"/>
    </xf>
    <xf numFmtId="0" fontId="9" fillId="0" borderId="7" xfId="0" applyFont="1" applyBorder="1" applyAlignment="1">
      <alignment vertical="center" wrapText="1"/>
    </xf>
    <xf numFmtId="167" fontId="9" fillId="0" borderId="11" xfId="0" applyNumberFormat="1" applyFont="1" applyBorder="1" applyAlignment="1">
      <alignment horizontal="center" vertical="center"/>
    </xf>
    <xf numFmtId="0" fontId="9" fillId="0" borderId="7" xfId="0" applyFont="1" applyBorder="1" applyAlignment="1">
      <alignment vertical="center"/>
    </xf>
    <xf numFmtId="0" fontId="9" fillId="0" borderId="12" xfId="0" applyFont="1" applyBorder="1" applyAlignment="1">
      <alignment vertical="center" wrapText="1"/>
    </xf>
    <xf numFmtId="167" fontId="9" fillId="0" borderId="13" xfId="0" applyNumberFormat="1" applyFont="1" applyBorder="1" applyAlignment="1">
      <alignment horizontal="center" vertical="center"/>
    </xf>
    <xf numFmtId="0" fontId="11" fillId="4" borderId="8" xfId="0" applyFont="1" applyFill="1" applyBorder="1" applyAlignment="1">
      <alignment horizontal="center" vertical="center"/>
    </xf>
    <xf numFmtId="0" fontId="11" fillId="4" borderId="6" xfId="0" applyFont="1" applyFill="1" applyBorder="1" applyAlignment="1">
      <alignment horizontal="center" vertical="center"/>
    </xf>
    <xf numFmtId="0" fontId="11" fillId="4" borderId="9" xfId="0" applyFont="1" applyFill="1" applyBorder="1" applyAlignment="1">
      <alignment horizontal="center" vertical="center"/>
    </xf>
    <xf numFmtId="0" fontId="11" fillId="4" borderId="1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164" fontId="3" fillId="0" borderId="1" xfId="1" applyNumberFormat="1" applyFont="1" applyFill="1" applyBorder="1" applyAlignment="1">
      <alignment horizontal="center" vertical="center"/>
    </xf>
    <xf numFmtId="0" fontId="9" fillId="6" borderId="0" xfId="0" applyFont="1" applyFill="1" applyAlignment="1">
      <alignment vertical="center"/>
    </xf>
    <xf numFmtId="1" fontId="10" fillId="6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167" fontId="9" fillId="0" borderId="0" xfId="0" applyNumberFormat="1" applyFont="1" applyAlignment="1">
      <alignment horizontal="center" vertical="center"/>
    </xf>
    <xf numFmtId="10" fontId="3" fillId="2" borderId="1" xfId="0" applyNumberFormat="1" applyFont="1" applyFill="1" applyBorder="1" applyAlignment="1">
      <alignment horizontal="center" vertical="center"/>
    </xf>
    <xf numFmtId="164" fontId="5" fillId="2" borderId="1" xfId="0" applyNumberFormat="1" applyFont="1" applyFill="1" applyBorder="1" applyAlignment="1">
      <alignment vertical="center"/>
    </xf>
    <xf numFmtId="164" fontId="5" fillId="3" borderId="1" xfId="0" applyNumberFormat="1" applyFont="1" applyFill="1" applyBorder="1" applyAlignment="1">
      <alignment vertical="center"/>
    </xf>
    <xf numFmtId="10" fontId="5" fillId="2" borderId="1" xfId="0" applyNumberFormat="1" applyFont="1" applyFill="1" applyBorder="1" applyAlignment="1">
      <alignment vertical="center"/>
    </xf>
    <xf numFmtId="0" fontId="3" fillId="2" borderId="14" xfId="0" applyFont="1" applyFill="1" applyBorder="1" applyAlignment="1">
      <alignment vertical="center"/>
    </xf>
    <xf numFmtId="10" fontId="3" fillId="2" borderId="14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" fontId="10" fillId="6" borderId="1" xfId="0" applyNumberFormat="1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top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6" fontId="0" fillId="0" borderId="1" xfId="0" applyNumberFormat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3" fillId="7" borderId="1" xfId="0" applyFont="1" applyFill="1" applyBorder="1" applyAlignment="1">
      <alignment vertical="center" wrapText="1"/>
    </xf>
    <xf numFmtId="164" fontId="3" fillId="7" borderId="1" xfId="0" applyNumberFormat="1" applyFont="1" applyFill="1" applyBorder="1" applyAlignment="1">
      <alignment horizontal="center" vertical="center"/>
    </xf>
    <xf numFmtId="164" fontId="3" fillId="7" borderId="1" xfId="0" applyNumberFormat="1" applyFont="1" applyFill="1" applyBorder="1" applyAlignment="1">
      <alignment horizontal="left" vertical="center"/>
    </xf>
    <xf numFmtId="0" fontId="15" fillId="7" borderId="1" xfId="0" applyFont="1" applyFill="1" applyBorder="1" applyAlignment="1">
      <alignment vertical="center" wrapText="1"/>
    </xf>
    <xf numFmtId="164" fontId="15" fillId="7" borderId="1" xfId="0" applyNumberFormat="1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vertical="center"/>
    </xf>
    <xf numFmtId="0" fontId="6" fillId="7" borderId="1" xfId="0" applyFont="1" applyFill="1" applyBorder="1" applyAlignment="1">
      <alignment horizontal="center" vertical="center"/>
    </xf>
    <xf numFmtId="166" fontId="6" fillId="7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3" fontId="5" fillId="7" borderId="1" xfId="0" applyNumberFormat="1" applyFont="1" applyFill="1" applyBorder="1" applyAlignment="1">
      <alignment horizontal="center" vertical="center"/>
    </xf>
    <xf numFmtId="3" fontId="3" fillId="7" borderId="1" xfId="0" applyNumberFormat="1" applyFont="1" applyFill="1" applyBorder="1" applyAlignment="1">
      <alignment horizontal="center" vertical="center"/>
    </xf>
    <xf numFmtId="164" fontId="12" fillId="7" borderId="1" xfId="0" applyNumberFormat="1" applyFont="1" applyFill="1" applyBorder="1" applyAlignment="1">
      <alignment vertical="center"/>
    </xf>
    <xf numFmtId="9" fontId="8" fillId="7" borderId="1" xfId="1" applyFont="1" applyFill="1" applyBorder="1" applyAlignment="1">
      <alignment vertical="center"/>
    </xf>
    <xf numFmtId="164" fontId="5" fillId="7" borderId="1" xfId="0" applyNumberFormat="1" applyFont="1" applyFill="1" applyBorder="1" applyAlignment="1">
      <alignment horizontal="center" vertical="center"/>
    </xf>
    <xf numFmtId="167" fontId="9" fillId="0" borderId="18" xfId="0" applyNumberFormat="1" applyFont="1" applyBorder="1" applyAlignment="1">
      <alignment horizontal="center" vertical="center"/>
    </xf>
    <xf numFmtId="167" fontId="9" fillId="0" borderId="17" xfId="0" applyNumberFormat="1" applyFont="1" applyBorder="1" applyAlignment="1">
      <alignment horizontal="center" vertical="center"/>
    </xf>
  </cellXfs>
  <cellStyles count="4">
    <cellStyle name="Millares 2" xfId="3" xr:uid="{E1693A07-C845-4B11-A1DC-EB7F9250D376}"/>
    <cellStyle name="Normal" xfId="0" builtinId="0"/>
    <cellStyle name="Normal 2" xfId="2" xr:uid="{00000000-0005-0000-0000-000001000000}"/>
    <cellStyle name="Porcentaje" xfId="1" builtinId="5"/>
  </cellStyles>
  <dxfs count="0"/>
  <tableStyles count="0" defaultTableStyle="TableStyleMedium2" defaultPivotStyle="PivotStyleLight16"/>
  <colors>
    <mruColors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266700</xdr:colOff>
      <xdr:row>15</xdr:row>
      <xdr:rowOff>142875</xdr:rowOff>
    </xdr:from>
    <xdr:to>
      <xdr:col>1</xdr:col>
      <xdr:colOff>3152775</xdr:colOff>
      <xdr:row>15</xdr:row>
      <xdr:rowOff>657225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EC3EEE29-6CFD-94B1-E563-ACFA6AA3D45D}"/>
            </a:ext>
          </a:extLst>
        </xdr:cNvPr>
        <xdr:cNvSpPr txBox="1"/>
      </xdr:nvSpPr>
      <xdr:spPr>
        <a:xfrm>
          <a:off x="266700" y="3733800"/>
          <a:ext cx="3219450" cy="5143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00"/>
            <a:t>(kits básicos, cautín, taladro, etc.)</a:t>
          </a:r>
        </a:p>
      </xdr:txBody>
    </xdr:sp>
    <xdr:clientData/>
  </xdr:twoCellAnchor>
  <xdr:twoCellAnchor>
    <xdr:from>
      <xdr:col>0</xdr:col>
      <xdr:colOff>266699</xdr:colOff>
      <xdr:row>16</xdr:row>
      <xdr:rowOff>104774</xdr:rowOff>
    </xdr:from>
    <xdr:to>
      <xdr:col>1</xdr:col>
      <xdr:colOff>3295649</xdr:colOff>
      <xdr:row>16</xdr:row>
      <xdr:rowOff>323849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627E9CED-DC6C-C553-CCA3-B7726DF73191}"/>
            </a:ext>
          </a:extLst>
        </xdr:cNvPr>
        <xdr:cNvSpPr txBox="1"/>
      </xdr:nvSpPr>
      <xdr:spPr>
        <a:xfrm>
          <a:off x="266699" y="4152899"/>
          <a:ext cx="3362325" cy="2190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00"/>
            <a:t>(multímetros, calibradores, osciloscopio básico)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82CCB-672D-4E0E-89B7-2CA62AC9D364}">
  <dimension ref="A1:H77"/>
  <sheetViews>
    <sheetView showGridLines="0" tabSelected="1" zoomScale="66" zoomScaleNormal="100" workbookViewId="0">
      <selection activeCell="C78" sqref="C78"/>
    </sheetView>
  </sheetViews>
  <sheetFormatPr baseColWidth="10" defaultRowHeight="20.100000000000001" customHeight="1" x14ac:dyDescent="0.25"/>
  <cols>
    <col min="1" max="1" width="5" style="7" customWidth="1"/>
    <col min="2" max="2" width="52.140625" style="7" customWidth="1"/>
    <col min="3" max="3" width="23" style="7" customWidth="1"/>
    <col min="4" max="4" width="22.85546875" style="7" customWidth="1"/>
    <col min="5" max="5" width="23" style="7" customWidth="1"/>
    <col min="6" max="6" width="26.7109375" style="7" customWidth="1"/>
    <col min="7" max="7" width="15.85546875" style="7" customWidth="1"/>
    <col min="8" max="11" width="21" style="7" customWidth="1"/>
    <col min="12" max="12" width="19" style="7" customWidth="1"/>
    <col min="13" max="16384" width="11.42578125" style="7"/>
  </cols>
  <sheetData>
    <row r="1" spans="2:8" ht="20.100000000000001" customHeight="1" thickBot="1" x14ac:dyDescent="0.3">
      <c r="B1" s="66" t="s">
        <v>4</v>
      </c>
      <c r="C1" s="67"/>
      <c r="D1" s="67"/>
      <c r="E1" s="67"/>
      <c r="F1" s="67"/>
    </row>
    <row r="3" spans="2:8" ht="20.100000000000001" customHeight="1" x14ac:dyDescent="0.25">
      <c r="B3" s="6" t="s">
        <v>5</v>
      </c>
      <c r="C3" s="6" t="s">
        <v>11</v>
      </c>
    </row>
    <row r="4" spans="2:8" ht="20.100000000000001" customHeight="1" x14ac:dyDescent="0.25">
      <c r="B4" s="4" t="s">
        <v>9</v>
      </c>
      <c r="C4" s="10">
        <v>0.35</v>
      </c>
    </row>
    <row r="5" spans="2:8" ht="20.100000000000001" customHeight="1" x14ac:dyDescent="0.25">
      <c r="B5" s="46" t="s">
        <v>50</v>
      </c>
      <c r="C5" s="53">
        <v>0.10059999999999999</v>
      </c>
      <c r="D5" s="7" t="s">
        <v>55</v>
      </c>
    </row>
    <row r="6" spans="2:8" ht="20.100000000000001" customHeight="1" x14ac:dyDescent="0.25">
      <c r="B6" s="46" t="s">
        <v>40</v>
      </c>
      <c r="C6" s="53">
        <v>0.54</v>
      </c>
    </row>
    <row r="7" spans="2:8" ht="20.100000000000001" customHeight="1" x14ac:dyDescent="0.25">
      <c r="B7" s="57" t="s">
        <v>54</v>
      </c>
      <c r="C7" s="60">
        <v>30</v>
      </c>
    </row>
    <row r="8" spans="2:8" ht="20.100000000000001" customHeight="1" x14ac:dyDescent="0.25">
      <c r="B8" s="57" t="s">
        <v>51</v>
      </c>
      <c r="C8" s="58">
        <v>0.12</v>
      </c>
    </row>
    <row r="9" spans="2:8" ht="14.25" customHeight="1" x14ac:dyDescent="0.25">
      <c r="B9" s="70" t="s">
        <v>41</v>
      </c>
      <c r="C9" s="59">
        <v>2026</v>
      </c>
      <c r="D9" s="59">
        <v>2027</v>
      </c>
      <c r="E9" s="59">
        <v>2028</v>
      </c>
    </row>
    <row r="10" spans="2:8" ht="15" customHeight="1" x14ac:dyDescent="0.25">
      <c r="B10" s="70"/>
      <c r="C10" s="53">
        <v>3.73E-2</v>
      </c>
      <c r="D10" s="53">
        <v>3.5200000000000002E-2</v>
      </c>
      <c r="E10" s="53">
        <v>3.2099999999999997E-2</v>
      </c>
    </row>
    <row r="12" spans="2:8" ht="20.100000000000001" customHeight="1" x14ac:dyDescent="0.25">
      <c r="B12" s="1" t="s">
        <v>6</v>
      </c>
      <c r="C12" s="1" t="s">
        <v>0</v>
      </c>
      <c r="D12" s="6" t="s">
        <v>1</v>
      </c>
      <c r="E12" s="6" t="s">
        <v>53</v>
      </c>
    </row>
    <row r="13" spans="2:8" ht="20.100000000000001" customHeight="1" x14ac:dyDescent="0.25">
      <c r="B13" s="2" t="s">
        <v>56</v>
      </c>
      <c r="C13" s="8">
        <f>4000000*2</f>
        <v>8000000</v>
      </c>
      <c r="D13" s="9">
        <v>4</v>
      </c>
      <c r="E13" s="8">
        <f>C13/D13</f>
        <v>2000000</v>
      </c>
    </row>
    <row r="14" spans="2:8" ht="20.100000000000001" customHeight="1" x14ac:dyDescent="0.25">
      <c r="B14" s="3" t="s">
        <v>57</v>
      </c>
      <c r="C14" s="8">
        <f>250000*2</f>
        <v>500000</v>
      </c>
      <c r="D14" s="9">
        <v>5</v>
      </c>
      <c r="E14" s="8">
        <f t="shared" ref="E14" si="0">C14/D14</f>
        <v>100000</v>
      </c>
    </row>
    <row r="15" spans="2:8" ht="20.100000000000001" customHeight="1" x14ac:dyDescent="0.25">
      <c r="B15" s="3" t="s">
        <v>58</v>
      </c>
      <c r="C15" s="8">
        <f>200000*2</f>
        <v>400000</v>
      </c>
      <c r="D15" s="9">
        <v>5</v>
      </c>
      <c r="E15" s="8">
        <f>C15/D15</f>
        <v>80000</v>
      </c>
      <c r="H15" s="32"/>
    </row>
    <row r="16" spans="2:8" ht="36" customHeight="1" x14ac:dyDescent="0.25">
      <c r="B16" s="65" t="s">
        <v>59</v>
      </c>
      <c r="C16" s="8">
        <v>3000000</v>
      </c>
      <c r="D16" s="81">
        <v>5</v>
      </c>
      <c r="E16" s="8">
        <f>C16/D16</f>
        <v>600000</v>
      </c>
    </row>
    <row r="17" spans="2:6" ht="26.25" customHeight="1" x14ac:dyDescent="0.25">
      <c r="B17" s="65" t="s">
        <v>60</v>
      </c>
      <c r="C17" s="8">
        <v>5000000</v>
      </c>
      <c r="D17" s="9">
        <v>5</v>
      </c>
      <c r="E17" s="8">
        <f>C17/D17</f>
        <v>1000000</v>
      </c>
    </row>
    <row r="18" spans="2:6" ht="20.100000000000001" customHeight="1" x14ac:dyDescent="0.25">
      <c r="B18" s="3" t="s">
        <v>61</v>
      </c>
      <c r="C18" s="8">
        <v>6000000</v>
      </c>
      <c r="D18" s="9">
        <v>4</v>
      </c>
      <c r="E18" s="8">
        <f>C18/D18</f>
        <v>1500000</v>
      </c>
    </row>
    <row r="20" spans="2:6" ht="20.100000000000001" customHeight="1" x14ac:dyDescent="0.25">
      <c r="B20" s="31" t="s">
        <v>34</v>
      </c>
      <c r="C20" s="6" t="s">
        <v>2</v>
      </c>
      <c r="D20" s="6" t="s">
        <v>8</v>
      </c>
      <c r="E20" s="6" t="s">
        <v>33</v>
      </c>
    </row>
    <row r="21" spans="2:6" s="72" customFormat="1" ht="20.100000000000001" customHeight="1" x14ac:dyDescent="0.25">
      <c r="B21" s="78" t="s">
        <v>34</v>
      </c>
      <c r="C21" s="79"/>
      <c r="D21" s="80">
        <f>SUM(D28:D35)/(1-C8)</f>
        <v>223539998.72727272</v>
      </c>
      <c r="E21" s="79"/>
    </row>
    <row r="22" spans="2:6" ht="20.100000000000001" customHeight="1" x14ac:dyDescent="0.25">
      <c r="B22" s="4" t="s">
        <v>62</v>
      </c>
      <c r="C22" s="8">
        <f>10666667</f>
        <v>10666667</v>
      </c>
      <c r="D22" s="8">
        <f>C22*12</f>
        <v>128000004</v>
      </c>
      <c r="E22" s="24" t="s">
        <v>41</v>
      </c>
    </row>
    <row r="23" spans="2:6" ht="20.100000000000001" customHeight="1" x14ac:dyDescent="0.25">
      <c r="B23" s="4" t="s">
        <v>63</v>
      </c>
      <c r="C23" s="47">
        <v>1000000</v>
      </c>
      <c r="D23" s="8">
        <f>C23*12</f>
        <v>12000000</v>
      </c>
      <c r="E23" s="24" t="s">
        <v>41</v>
      </c>
    </row>
    <row r="24" spans="2:6" ht="20.100000000000001" customHeight="1" x14ac:dyDescent="0.25">
      <c r="B24" s="4" t="s">
        <v>64</v>
      </c>
      <c r="C24" s="8">
        <v>500000</v>
      </c>
      <c r="D24" s="8">
        <f>C24*12</f>
        <v>6000000</v>
      </c>
      <c r="E24" s="24" t="s">
        <v>41</v>
      </c>
    </row>
    <row r="25" spans="2:6" ht="20.100000000000001" customHeight="1" x14ac:dyDescent="0.25">
      <c r="B25" s="4" t="s">
        <v>65</v>
      </c>
      <c r="C25" s="71">
        <v>1000000</v>
      </c>
      <c r="D25" s="8">
        <f>C25*12</f>
        <v>12000000</v>
      </c>
      <c r="E25" s="24" t="s">
        <v>41</v>
      </c>
    </row>
    <row r="27" spans="2:6" ht="20.100000000000001" customHeight="1" x14ac:dyDescent="0.25">
      <c r="B27" s="31" t="s">
        <v>7</v>
      </c>
      <c r="C27" s="6" t="s">
        <v>2</v>
      </c>
      <c r="D27" s="6" t="s">
        <v>8</v>
      </c>
      <c r="E27" s="6" t="s">
        <v>33</v>
      </c>
    </row>
    <row r="28" spans="2:6" ht="20.100000000000001" customHeight="1" x14ac:dyDescent="0.25">
      <c r="B28" s="4" t="s">
        <v>35</v>
      </c>
      <c r="C28" s="8">
        <f>1300606*(1+C6)</f>
        <v>2002933.24</v>
      </c>
      <c r="D28" s="8">
        <f>C28*12</f>
        <v>24035198.879999999</v>
      </c>
      <c r="E28" s="24" t="s">
        <v>41</v>
      </c>
    </row>
    <row r="29" spans="2:6" ht="20.100000000000001" customHeight="1" x14ac:dyDescent="0.25">
      <c r="B29" s="4" t="s">
        <v>36</v>
      </c>
      <c r="C29" s="8">
        <f>4000000*(1+C6)</f>
        <v>6160000</v>
      </c>
      <c r="D29" s="8">
        <f>C29*12</f>
        <v>73920000</v>
      </c>
      <c r="E29" s="24" t="s">
        <v>41</v>
      </c>
    </row>
    <row r="30" spans="2:6" ht="20.100000000000001" customHeight="1" x14ac:dyDescent="0.25">
      <c r="B30" s="4" t="s">
        <v>37</v>
      </c>
      <c r="C30" s="8">
        <v>200000</v>
      </c>
      <c r="D30" s="8">
        <f>C30*12</f>
        <v>2400000</v>
      </c>
      <c r="E30" s="24" t="s">
        <v>41</v>
      </c>
    </row>
    <row r="31" spans="2:6" ht="20.100000000000001" customHeight="1" x14ac:dyDescent="0.25">
      <c r="B31" s="4" t="s">
        <v>38</v>
      </c>
      <c r="C31" s="8">
        <v>250000</v>
      </c>
      <c r="D31" s="8">
        <f>C31*12</f>
        <v>3000000</v>
      </c>
      <c r="E31" s="24" t="s">
        <v>41</v>
      </c>
    </row>
    <row r="32" spans="2:6" ht="20.100000000000001" customHeight="1" x14ac:dyDescent="0.25">
      <c r="B32" s="4" t="s">
        <v>39</v>
      </c>
      <c r="C32" s="8">
        <v>150000</v>
      </c>
      <c r="D32" s="8">
        <f>C32*12</f>
        <v>1800000</v>
      </c>
      <c r="E32" s="24" t="s">
        <v>41</v>
      </c>
      <c r="F32" s="5"/>
    </row>
    <row r="33" spans="1:6" ht="20.100000000000001" customHeight="1" x14ac:dyDescent="0.25">
      <c r="B33" s="73" t="s">
        <v>66</v>
      </c>
      <c r="C33" s="74">
        <f>2500000*(1+C6)</f>
        <v>3850000</v>
      </c>
      <c r="D33" s="74">
        <f>C33*12</f>
        <v>46200000</v>
      </c>
      <c r="E33" s="75" t="s">
        <v>41</v>
      </c>
    </row>
    <row r="34" spans="1:6" ht="20.100000000000001" customHeight="1" x14ac:dyDescent="0.25">
      <c r="B34" s="76" t="s">
        <v>68</v>
      </c>
      <c r="C34" s="77">
        <f>700000</f>
        <v>700000</v>
      </c>
      <c r="D34" s="77">
        <f>C34*12</f>
        <v>8400000</v>
      </c>
      <c r="E34" s="75" t="s">
        <v>41</v>
      </c>
    </row>
    <row r="35" spans="1:6" ht="20.100000000000001" customHeight="1" x14ac:dyDescent="0.25">
      <c r="B35" s="76" t="s">
        <v>67</v>
      </c>
      <c r="C35" s="77">
        <f>2000000*(1+C6)</f>
        <v>3080000</v>
      </c>
      <c r="D35" s="77">
        <f>C35*12</f>
        <v>36960000</v>
      </c>
      <c r="E35" s="75" t="s">
        <v>41</v>
      </c>
    </row>
    <row r="36" spans="1:6" ht="24" customHeight="1" thickBot="1" x14ac:dyDescent="0.3">
      <c r="B36" s="12"/>
      <c r="C36" s="12"/>
    </row>
    <row r="37" spans="1:6" ht="15" customHeight="1" thickBot="1" x14ac:dyDescent="0.3">
      <c r="B37" s="63" t="s">
        <v>10</v>
      </c>
      <c r="C37" s="64"/>
      <c r="D37" s="64"/>
      <c r="E37" s="64"/>
      <c r="F37" s="64"/>
    </row>
    <row r="38" spans="1:6" ht="15" customHeight="1" thickBot="1" x14ac:dyDescent="0.3">
      <c r="B38" s="12"/>
      <c r="C38" s="12"/>
    </row>
    <row r="39" spans="1:6" ht="15" customHeight="1" x14ac:dyDescent="0.25">
      <c r="B39" s="68" t="s">
        <v>3</v>
      </c>
      <c r="C39" s="42">
        <v>2025</v>
      </c>
      <c r="D39" s="42">
        <f>+C39+1</f>
        <v>2026</v>
      </c>
      <c r="E39" s="42">
        <f>+D39+1</f>
        <v>2027</v>
      </c>
      <c r="F39" s="43">
        <f>+E39+1</f>
        <v>2028</v>
      </c>
    </row>
    <row r="40" spans="1:6" ht="15" customHeight="1" x14ac:dyDescent="0.25">
      <c r="B40" s="69"/>
      <c r="C40" s="44" t="s">
        <v>42</v>
      </c>
      <c r="D40" s="44" t="s">
        <v>43</v>
      </c>
      <c r="E40" s="44" t="s">
        <v>44</v>
      </c>
      <c r="F40" s="45" t="s">
        <v>45</v>
      </c>
    </row>
    <row r="41" spans="1:6" ht="15" customHeight="1" x14ac:dyDescent="0.25">
      <c r="B41" s="33" t="s">
        <v>46</v>
      </c>
      <c r="C41" s="48"/>
      <c r="D41" s="49">
        <f>C7</f>
        <v>30</v>
      </c>
      <c r="E41" s="49">
        <f>D41</f>
        <v>30</v>
      </c>
      <c r="F41" s="34">
        <f>E41</f>
        <v>30</v>
      </c>
    </row>
    <row r="42" spans="1:6" ht="24.75" customHeight="1" x14ac:dyDescent="0.25">
      <c r="B42" s="35"/>
      <c r="C42" s="50"/>
      <c r="D42" s="50"/>
      <c r="E42" s="50"/>
      <c r="F42" s="36"/>
    </row>
    <row r="43" spans="1:6" ht="27.75" customHeight="1" x14ac:dyDescent="0.25">
      <c r="B43" s="37" t="s">
        <v>47</v>
      </c>
      <c r="C43" s="51"/>
      <c r="D43" s="52">
        <f>SUM(D28:D35)</f>
        <v>196715198.88</v>
      </c>
      <c r="E43" s="52">
        <f>D43*(1+C10)</f>
        <v>204052675.798224</v>
      </c>
      <c r="F43" s="38">
        <f>E43*(1+E10)</f>
        <v>210602766.691347</v>
      </c>
    </row>
    <row r="44" spans="1:6" ht="28.5" customHeight="1" x14ac:dyDescent="0.25">
      <c r="B44" s="39" t="s">
        <v>49</v>
      </c>
      <c r="C44" s="52"/>
      <c r="D44" s="52">
        <f>D43/12</f>
        <v>16392933.24</v>
      </c>
      <c r="E44" s="52">
        <f t="shared" ref="E44:F44" si="1">E43/12</f>
        <v>17004389.649852</v>
      </c>
      <c r="F44" s="87">
        <f t="shared" si="1"/>
        <v>17550230.557612251</v>
      </c>
    </row>
    <row r="45" spans="1:6" ht="15" customHeight="1" thickBot="1" x14ac:dyDescent="0.3">
      <c r="B45" s="40" t="s">
        <v>48</v>
      </c>
      <c r="C45" s="41">
        <f>D44-C44</f>
        <v>16392933.24</v>
      </c>
      <c r="D45" s="41">
        <f>E44-D44</f>
        <v>611456.40985199995</v>
      </c>
      <c r="E45" s="41">
        <f t="shared" ref="E45:F45" si="2">F44-E44</f>
        <v>545840.90776025131</v>
      </c>
      <c r="F45" s="88">
        <f>E45</f>
        <v>545840.90776025131</v>
      </c>
    </row>
    <row r="46" spans="1:6" s="11" customFormat="1" ht="11.25" customHeight="1" x14ac:dyDescent="0.25">
      <c r="B46" s="12"/>
      <c r="C46" s="12"/>
      <c r="D46" s="7"/>
      <c r="E46" s="7"/>
      <c r="F46" s="14"/>
    </row>
    <row r="47" spans="1:6" ht="20.100000000000001" customHeight="1" thickBot="1" x14ac:dyDescent="0.3">
      <c r="A47" s="23"/>
      <c r="B47" s="13"/>
      <c r="C47" s="14"/>
      <c r="D47" s="14"/>
      <c r="E47" s="14"/>
    </row>
    <row r="48" spans="1:6" ht="20.100000000000001" customHeight="1" thickBot="1" x14ac:dyDescent="0.3">
      <c r="B48" s="61" t="s">
        <v>12</v>
      </c>
      <c r="C48" s="62"/>
      <c r="D48" s="62"/>
      <c r="E48" s="62"/>
      <c r="F48" s="62"/>
    </row>
    <row r="49" spans="1:6" ht="20.100000000000001" customHeight="1" x14ac:dyDescent="0.25">
      <c r="A49" s="28" t="s">
        <v>13</v>
      </c>
      <c r="B49" s="15" t="s">
        <v>5</v>
      </c>
      <c r="C49" s="15">
        <v>0</v>
      </c>
      <c r="D49" s="15">
        <v>1</v>
      </c>
      <c r="E49" s="15">
        <v>2</v>
      </c>
      <c r="F49" s="15">
        <v>3</v>
      </c>
    </row>
    <row r="50" spans="1:6" ht="20.100000000000001" customHeight="1" x14ac:dyDescent="0.25">
      <c r="A50" s="28" t="s">
        <v>15</v>
      </c>
      <c r="B50" s="25" t="s">
        <v>14</v>
      </c>
      <c r="C50" s="26"/>
      <c r="D50" s="82">
        <f>D21</f>
        <v>223539998.72727272</v>
      </c>
      <c r="E50" s="82">
        <f>D50*(1+D10)</f>
        <v>231408606.68247271</v>
      </c>
      <c r="F50" s="82">
        <f>E50*(1+E10)</f>
        <v>238836822.95698008</v>
      </c>
    </row>
    <row r="51" spans="1:6" ht="20.100000000000001" customHeight="1" x14ac:dyDescent="0.25">
      <c r="A51" s="28" t="s">
        <v>15</v>
      </c>
      <c r="B51" s="19" t="s">
        <v>21</v>
      </c>
      <c r="C51" s="8"/>
      <c r="D51" s="83">
        <f>D43</f>
        <v>196715198.88</v>
      </c>
      <c r="E51" s="83">
        <f>E43</f>
        <v>204052675.798224</v>
      </c>
      <c r="F51" s="83">
        <f>F43</f>
        <v>210602766.691347</v>
      </c>
    </row>
    <row r="52" spans="1:6" ht="20.100000000000001" customHeight="1" x14ac:dyDescent="0.25">
      <c r="A52" s="28" t="s">
        <v>16</v>
      </c>
      <c r="B52" s="19" t="s">
        <v>17</v>
      </c>
      <c r="C52" s="22"/>
      <c r="D52" s="83">
        <f>SUM(E13:E18)</f>
        <v>5280000</v>
      </c>
      <c r="E52" s="83">
        <f>D52</f>
        <v>5280000</v>
      </c>
      <c r="F52" s="83">
        <f>E52</f>
        <v>5280000</v>
      </c>
    </row>
    <row r="53" spans="1:6" ht="20.100000000000001" customHeight="1" x14ac:dyDescent="0.25">
      <c r="A53" s="28" t="s">
        <v>15</v>
      </c>
      <c r="B53" s="16" t="s">
        <v>18</v>
      </c>
      <c r="C53" s="17"/>
      <c r="D53" s="18">
        <f>D50-D51-D52</f>
        <v>21544799.847272724</v>
      </c>
      <c r="E53" s="18">
        <f t="shared" ref="E52:F53" si="3">E50-E51-E52</f>
        <v>22075930.884248704</v>
      </c>
      <c r="F53" s="18">
        <f>F50-F51-F52</f>
        <v>22954056.265633076</v>
      </c>
    </row>
    <row r="54" spans="1:6" ht="20.100000000000001" customHeight="1" x14ac:dyDescent="0.25">
      <c r="A54" s="28" t="s">
        <v>16</v>
      </c>
      <c r="B54" s="19" t="s">
        <v>19</v>
      </c>
      <c r="C54" s="8"/>
      <c r="D54" s="20">
        <f>D53*$C$4</f>
        <v>7540679.9465454528</v>
      </c>
      <c r="E54" s="20">
        <f>E53*$C$4</f>
        <v>7726575.8094870457</v>
      </c>
      <c r="F54" s="20">
        <f>F53*$C$4</f>
        <v>8033919.692971576</v>
      </c>
    </row>
    <row r="55" spans="1:6" ht="20.100000000000001" customHeight="1" x14ac:dyDescent="0.25">
      <c r="A55" s="28" t="s">
        <v>13</v>
      </c>
      <c r="B55" s="16" t="s">
        <v>20</v>
      </c>
      <c r="C55" s="17"/>
      <c r="D55" s="18">
        <f>D53-D54</f>
        <v>14004119.900727272</v>
      </c>
      <c r="E55" s="18">
        <f t="shared" ref="E54:F55" si="4">E53-E54</f>
        <v>14349355.074761659</v>
      </c>
      <c r="F55" s="18">
        <f>F53-F54</f>
        <v>14920136.5726615</v>
      </c>
    </row>
    <row r="56" spans="1:6" ht="20.100000000000001" customHeight="1" x14ac:dyDescent="0.25">
      <c r="A56" s="28" t="s">
        <v>16</v>
      </c>
      <c r="B56" s="19" t="s">
        <v>17</v>
      </c>
      <c r="C56" s="8"/>
      <c r="D56" s="20">
        <f>D52</f>
        <v>5280000</v>
      </c>
      <c r="E56" s="20">
        <f t="shared" ref="E55:F56" si="5">E52</f>
        <v>5280000</v>
      </c>
      <c r="F56" s="20">
        <f>F52</f>
        <v>5280000</v>
      </c>
    </row>
    <row r="57" spans="1:6" ht="20.100000000000001" customHeight="1" x14ac:dyDescent="0.25">
      <c r="B57" s="16" t="s">
        <v>12</v>
      </c>
      <c r="C57" s="17"/>
      <c r="D57" s="18">
        <f>D55+D56</f>
        <v>19284119.900727272</v>
      </c>
      <c r="E57" s="18">
        <f t="shared" ref="E56:F57" si="6">E55+E56</f>
        <v>19629355.074761659</v>
      </c>
      <c r="F57" s="18">
        <f>F55+F56</f>
        <v>20200136.5726615</v>
      </c>
    </row>
    <row r="58" spans="1:6" ht="20.100000000000001" customHeight="1" thickBot="1" x14ac:dyDescent="0.3"/>
    <row r="59" spans="1:6" ht="20.100000000000001" customHeight="1" thickBot="1" x14ac:dyDescent="0.3">
      <c r="B59" s="61" t="s">
        <v>22</v>
      </c>
      <c r="C59" s="62"/>
      <c r="D59" s="62"/>
      <c r="E59" s="62"/>
      <c r="F59" s="62"/>
    </row>
    <row r="60" spans="1:6" ht="20.100000000000001" customHeight="1" x14ac:dyDescent="0.25">
      <c r="A60" s="7" t="s">
        <v>15</v>
      </c>
      <c r="B60" s="15" t="s">
        <v>5</v>
      </c>
      <c r="C60" s="15">
        <v>0</v>
      </c>
      <c r="D60" s="15">
        <v>1</v>
      </c>
      <c r="E60" s="15">
        <v>2</v>
      </c>
      <c r="F60" s="15">
        <v>3</v>
      </c>
    </row>
    <row r="61" spans="1:6" ht="20.100000000000001" customHeight="1" x14ac:dyDescent="0.25">
      <c r="A61" s="7" t="s">
        <v>15</v>
      </c>
      <c r="B61" s="19" t="s">
        <v>23</v>
      </c>
      <c r="C61" s="86">
        <f>SUM(C13:C18)</f>
        <v>22900000</v>
      </c>
      <c r="D61" s="27"/>
      <c r="E61" s="27"/>
      <c r="F61" s="27"/>
    </row>
    <row r="62" spans="1:6" ht="20.100000000000001" customHeight="1" x14ac:dyDescent="0.25">
      <c r="A62" s="7" t="s">
        <v>15</v>
      </c>
      <c r="B62" s="19" t="s">
        <v>24</v>
      </c>
      <c r="C62" s="22"/>
      <c r="D62" s="20"/>
      <c r="E62" s="20"/>
      <c r="F62" s="20"/>
    </row>
    <row r="63" spans="1:6" ht="20.100000000000001" customHeight="1" x14ac:dyDescent="0.25">
      <c r="A63" s="7" t="s">
        <v>16</v>
      </c>
      <c r="B63" s="19" t="s">
        <v>25</v>
      </c>
      <c r="C63" s="26">
        <f>C45</f>
        <v>16392933.24</v>
      </c>
      <c r="D63" s="26">
        <f>-D45</f>
        <v>-611456.40985199995</v>
      </c>
      <c r="E63" s="26">
        <f>-E45</f>
        <v>-545840.90776025131</v>
      </c>
      <c r="F63" s="26">
        <f>-F45</f>
        <v>-545840.90776025131</v>
      </c>
    </row>
    <row r="64" spans="1:6" ht="20.100000000000001" customHeight="1" x14ac:dyDescent="0.25">
      <c r="B64" s="16" t="s">
        <v>22</v>
      </c>
      <c r="C64" s="17">
        <f>-C61-C62-C63</f>
        <v>-39292933.240000002</v>
      </c>
      <c r="D64" s="17">
        <f t="shared" ref="D63:F64" si="7">-D61-D62-D63</f>
        <v>611456.40985199995</v>
      </c>
      <c r="E64" s="17">
        <f t="shared" si="7"/>
        <v>545840.90776025131</v>
      </c>
      <c r="F64" s="17">
        <f>-F61-F62-F63</f>
        <v>545840.90776025131</v>
      </c>
    </row>
    <row r="65" spans="2:6" ht="20.100000000000001" customHeight="1" thickBot="1" x14ac:dyDescent="0.3"/>
    <row r="66" spans="2:6" ht="20.100000000000001" customHeight="1" thickBot="1" x14ac:dyDescent="0.3">
      <c r="B66" s="61" t="s">
        <v>26</v>
      </c>
      <c r="C66" s="62"/>
      <c r="D66" s="62"/>
      <c r="E66" s="62"/>
      <c r="F66" s="62"/>
    </row>
    <row r="67" spans="2:6" ht="20.100000000000001" customHeight="1" x14ac:dyDescent="0.25">
      <c r="B67" s="15" t="s">
        <v>5</v>
      </c>
      <c r="C67" s="15">
        <v>0</v>
      </c>
      <c r="D67" s="15">
        <v>1</v>
      </c>
      <c r="E67" s="15">
        <v>2</v>
      </c>
      <c r="F67" s="15">
        <v>3</v>
      </c>
    </row>
    <row r="68" spans="2:6" ht="20.100000000000001" customHeight="1" x14ac:dyDescent="0.25">
      <c r="B68" s="21" t="s">
        <v>28</v>
      </c>
      <c r="C68" s="54">
        <f>C57</f>
        <v>0</v>
      </c>
      <c r="D68" s="54">
        <f t="shared" ref="D67:F68" si="8">D57</f>
        <v>19284119.900727272</v>
      </c>
      <c r="E68" s="54">
        <f t="shared" si="8"/>
        <v>19629355.074761659</v>
      </c>
      <c r="F68" s="54">
        <f>F57</f>
        <v>20200136.5726615</v>
      </c>
    </row>
    <row r="69" spans="2:6" ht="20.100000000000001" customHeight="1" x14ac:dyDescent="0.25">
      <c r="B69" s="21" t="s">
        <v>29</v>
      </c>
      <c r="C69" s="54">
        <f>C64</f>
        <v>-39292933.240000002</v>
      </c>
      <c r="D69" s="54">
        <f t="shared" ref="D68:F69" si="9">D64</f>
        <v>611456.40985199995</v>
      </c>
      <c r="E69" s="54">
        <f t="shared" si="9"/>
        <v>545840.90776025131</v>
      </c>
      <c r="F69" s="54">
        <f>F64</f>
        <v>545840.90776025131</v>
      </c>
    </row>
    <row r="70" spans="2:6" ht="20.100000000000001" customHeight="1" x14ac:dyDescent="0.25">
      <c r="B70" s="21" t="s">
        <v>52</v>
      </c>
      <c r="C70" s="21"/>
      <c r="D70" s="21"/>
      <c r="E70" s="21"/>
      <c r="F70" s="54">
        <f>(F68+F69)/C5</f>
        <v>206222440.16323811</v>
      </c>
    </row>
    <row r="71" spans="2:6" ht="20.100000000000001" customHeight="1" x14ac:dyDescent="0.25">
      <c r="B71" s="29" t="s">
        <v>27</v>
      </c>
      <c r="C71" s="55">
        <f>SUM(C68:C70)</f>
        <v>-39292933.240000002</v>
      </c>
      <c r="D71" s="55">
        <f t="shared" ref="D70:F71" si="10">SUM(D68:D70)</f>
        <v>19895576.31057927</v>
      </c>
      <c r="E71" s="55">
        <f t="shared" si="10"/>
        <v>20175195.98252191</v>
      </c>
      <c r="F71" s="55">
        <f>SUM(F68:F70)</f>
        <v>226968417.64365986</v>
      </c>
    </row>
    <row r="74" spans="2:6" ht="20.100000000000001" customHeight="1" x14ac:dyDescent="0.25">
      <c r="B74" s="21" t="s">
        <v>30</v>
      </c>
      <c r="C74" s="56">
        <f>C5</f>
        <v>0.10059999999999999</v>
      </c>
    </row>
    <row r="75" spans="2:6" ht="21" customHeight="1" x14ac:dyDescent="0.25"/>
    <row r="76" spans="2:6" ht="24" customHeight="1" x14ac:dyDescent="0.25">
      <c r="B76" s="30" t="s">
        <v>31</v>
      </c>
      <c r="C76" s="84">
        <f>NPV(C5,D71:F71)+C71</f>
        <v>165685630.34427226</v>
      </c>
    </row>
    <row r="77" spans="2:6" ht="20.100000000000001" customHeight="1" x14ac:dyDescent="0.25">
      <c r="B77" s="30" t="s">
        <v>32</v>
      </c>
      <c r="C77" s="85">
        <f>IRR(C71:F71)</f>
        <v>1.0834705388106007</v>
      </c>
    </row>
  </sheetData>
  <mergeCells count="3">
    <mergeCell ref="B1:F1"/>
    <mergeCell ref="B39:B40"/>
    <mergeCell ref="B9:B10"/>
  </mergeCells>
  <pageMargins left="0.25" right="0.25" top="0.75" bottom="0.75" header="0.3" footer="0.3"/>
  <pageSetup scale="5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Flujo de caja</vt:lpstr>
      <vt:lpstr>'Flujo de caja'!Área_de_impresión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Tatiana Arroyave Cataño</dc:creator>
  <cp:lastModifiedBy>Juliana Ocampo</cp:lastModifiedBy>
  <cp:lastPrinted>2024-04-23T15:41:36Z</cp:lastPrinted>
  <dcterms:created xsi:type="dcterms:W3CDTF">2019-02-22T18:38:37Z</dcterms:created>
  <dcterms:modified xsi:type="dcterms:W3CDTF">2025-05-04T20:12:08Z</dcterms:modified>
</cp:coreProperties>
</file>